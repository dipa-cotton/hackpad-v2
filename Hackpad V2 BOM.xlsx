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yab\Downloads\hackpad\"/>
    </mc:Choice>
  </mc:AlternateContent>
  <xr:revisionPtr revIDLastSave="0" documentId="8_{106DD1A7-5A2C-4A8D-B054-C889D719BDC2}" xr6:coauthVersionLast="47" xr6:coauthVersionMax="47" xr10:uidLastSave="{00000000-0000-0000-0000-000000000000}"/>
  <bookViews>
    <workbookView xWindow="-96" yWindow="0" windowWidth="11712" windowHeight="12336" xr2:uid="{5F9DBB44-86CA-47F4-AEB1-881EB1C229C4}"/>
  </bookViews>
  <sheets>
    <sheet name="Water Alarm BOM" sheetId="1" r:id="rId1"/>
  </sheets>
  <calcPr calcId="0"/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<sst xmlns="http://schemas.openxmlformats.org/spreadsheetml/2006/main" count="45" uniqueCount="41">
  <si>
    <t>Reference</t>
  </si>
  <si>
    <t>Qty</t>
  </si>
  <si>
    <t>Object</t>
  </si>
  <si>
    <t>Footprint</t>
  </si>
  <si>
    <t>Price</t>
  </si>
  <si>
    <t>Link</t>
  </si>
  <si>
    <t>Capacitor_THT:C_Disc_D3.0mm_W1.6mm_P2.50mm</t>
  </si>
  <si>
    <t>https://www.digikey.com/en/products/detail/kemet/C0603C102F8HACAUTO/7956563</t>
  </si>
  <si>
    <t>J1</t>
  </si>
  <si>
    <t>R1</t>
  </si>
  <si>
    <t>+10 for shipping</t>
  </si>
  <si>
    <t>C1,C2,C3,C4</t>
  </si>
  <si>
    <t>100nF</t>
  </si>
  <si>
    <t>D1,D2</t>
  </si>
  <si>
    <t>SK6812MINI</t>
  </si>
  <si>
    <t>LED_SMD:LED_SK6812MINI_PLCC4_3.5x3.5mm_P1.75mm</t>
  </si>
  <si>
    <t>Conn_01x04_Pin</t>
  </si>
  <si>
    <t>Connector:FanPinHeader_1x04_P2.54mm_Vertical</t>
  </si>
  <si>
    <t>330 ohm</t>
  </si>
  <si>
    <t>Resistor_THT:R_Axial_DIN0204_L3.6mm_D1.6mm_P2.54mm_Vertical</t>
  </si>
  <si>
    <t>R2,R3,R4,R5</t>
  </si>
  <si>
    <t>4.7k</t>
  </si>
  <si>
    <t>SW1,SW2,SW3,SW4,SW5,SW6,SW7,SW8,SW9</t>
  </si>
  <si>
    <t>SW_Push</t>
  </si>
  <si>
    <t>Button_Switch_Keyboard:SW_Cherry_MX_1.00u_PCB</t>
  </si>
  <si>
    <t>SW10,SW11</t>
  </si>
  <si>
    <t>RotaryEncoder_Switch</t>
  </si>
  <si>
    <t>Rotary_Encoder:RotaryEncoder_Alps_EC11E-Switch_Vertical_H20mm</t>
  </si>
  <si>
    <t>U1</t>
  </si>
  <si>
    <t>XIAO-RP2040-DIP</t>
  </si>
  <si>
    <t>Module:MOUDLE14P-XIAO-DIP-SMD</t>
  </si>
  <si>
    <t>U2</t>
  </si>
  <si>
    <t>PCF8574AP</t>
  </si>
  <si>
    <t>Package_DIP:DIP-16_W7.62mm</t>
  </si>
  <si>
    <t>Owned</t>
  </si>
  <si>
    <t>+ 8 for pcb</t>
  </si>
  <si>
    <t>Total:</t>
  </si>
  <si>
    <t>https://www.aliexpress.us/item/2251832766343175.html?spm=a2g0o.cart.0.0.49c238dawu5WRO&amp;mp=1&amp;pdp_npi=6%40dis%21USD%21USD%201.29%21USD%200.99%21%21USD%200.99%21%21%21%402103128817701701634645930e1149%2166353322914%21ct%21US%214570435753%21%211%210%21&amp;_gl=1*5apnzs*_gcl_aw*R0NMLjE3NzAxNzAwOTUuQ2p3S0NBaUExb2JNQmhBYkVpd0FzVUJiSWt1VTAxTFZYYTNJZlBtSW9NQXRRUGRvUHMyOGFObGhpNENJcWlSVVlieGl4d0xRb0g0S2F4b0M2NDRRQXZEX0J3RQ..*_gcl_dc*R0NMLjE3NzAxNzAwOTUuQ2p3S0NBaUExb2JNQmhBYkVpd0FzVUJiSWt1VTAxTFZYYTNJZlBtSW9NQXRRUGRvUHMyOGFObGhpNENJcWlSVVlieGl4d0xRb0g0S2F4b0M2NDRRQXZEX0J3RQ..*_gcl_au*MTY1MzcyODgzMi4xNzY5NDQ4MDIy*_ga*NDA2NjgzMjcuMTc3MDE2OTgxMw..*_ga_VED1YSGNC7*czE3NzAxNjk4MTMkbzEkZzEkdDE3NzAxNzAxNjMkajMzJGwwJGgw&amp;gatewayAdapt=glo2usa</t>
  </si>
  <si>
    <t>https://www.aliexpress.us/item/3256810275816470.html?spm=a2g0o.cart.0.0.49c238dawu5WRO&amp;mp=1&amp;pdp_npi=6%40dis%21USD%21USD%206.32%21USD%200.99%21%21USD%200.99%21%21%21%402103128817701701634645930e1149%2112000052491955912%21ct%21US%214570435753%21%211%210%21&amp;_gl=1*1puro99*_gcl_aw*R0NMLjE3NzAxNzAwOTUuQ2p3S0NBaUExb2JNQmhBYkVpd0FzVUJiSWt1VTAxTFZYYTNJZlBtSW9NQXRRUGRvUHMyOGFObGhpNENJcWlSVVlieGl4d0xRb0g0S2F4b0M2NDRRQXZEX0J3RQ..*_gcl_dc*R0NMLjE3NzAxNzAwOTUuQ2p3S0NBaUExb2JNQmhBYkVpd0FzVUJiSWt1VTAxTFZYYTNJZlBtSW9NQXRRUGRvUHMyOGFObGhpNENJcWlSVVlieGl4d0xRb0g0S2F4b0M2NDRRQXZEX0J3RQ..*_gcl_au*MTY1MzcyODgzMi4xNzY5NDQ4MDIy*_ga*NDA2NjgzMjcuMTc3MDE2OTgxMw..*_ga_VED1YSGNC7*czE3NzAxNjk4MTMkbzEkZzEkdDE3NzAxNzA2ODYkajM4JGwwJGgw&amp;gatewayAdapt=glo2usa</t>
  </si>
  <si>
    <t>https://www.seeedstudio.com/XIAO-RP2040-v1-0-p-5026.html</t>
  </si>
  <si>
    <t>https://www.aliexpress.us/item/3256806116951581.html?spm=a2g0o.cart.0.0.49c238dawu5WRO&amp;mp=1&amp;pdp_npi=6%40dis%21USD%21USD%206.76%21USD%203.38%21%21USD%203.38%21%21%21%402103128817701701634645930e1149%2112000036684871619%21ct%21US%214570435753%21%211%210%21&amp;_gl=1*xgktu6*_gcl_aw*R0NMLjE3NzAxNzAwOTUuQ2p3S0NBaUExb2JNQmhBYkVpd0FzVUJiSWt1VTAxTFZYYTNJZlBtSW9NQXRRUGRvUHMyOGFObGhpNENJcWlSVVlieGl4d0xRb0g0S2F4b0M2NDRRQXZEX0J3RQ..*_gcl_dc*R0NMLjE3NzAxNzAwOTUuQ2p3S0NBaUExb2JNQmhBYkVpd0FzVUJiSWt1VTAxTFZYYTNJZlBtSW9NQXRRUGRvUHMyOGFObGhpNENJcWlSVVlieGl4d0xRb0g0S2F4b0M2NDRRQXZEX0J3RQ..*_gcl_au*MTY1MzcyODgzMi4xNzY5NDQ4MDIy*_ga*NDA2NjgzMjcuMTc3MDE2OTgxMw..*_ga_VED1YSGNC7*czE3NzAxNjk4MTMkbzEkZzEkdDE3NzAxNzA2OTEkajMzJGwwJGgw&amp;gatewayAdapt=glo2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</si>
</sst>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69F6-E721-46CE-9E18-4B5FCF273BC7}">
  <dimension ref="A1:F14"/>
  <sheetViews>
    <sheetView tabSelected="1" topLeftCell="C2" zoomScale="59" workbookViewId="0">
      <selection activeCell="D4" sqref="D4"/>
    </sheetView>
  </sheetViews>
  <sheetFormatPr defaultRowHeight="14.4" x14ac:dyDescent="0.3"/>
  <cols>
    <col min="3" max="3" width="18.77734375" customWidth="1"/>
    <col min="4" max="4" width="53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11</v>
      </c>
      <c r="B2">
        <v>4</v>
      </c>
      <c r="C2" t="s">
        <v>12</v>
      </c>
      <c r="D2" t="s">
        <v>6</v>
      </c>
      <c r="E2">
        <v>1.04</v>
      </c>
      <c r="F2" t="s">
        <v>7</v>
      </c>
    </row>
    <row r="3" spans="1:6" x14ac:dyDescent="0.3">
      <c r="A3" t="s">
        <v>13</v>
      </c>
      <c r="B3">
        <v>2</v>
      </c>
      <c r="C3" t="s">
        <v>14</v>
      </c>
      <c r="D3" t="s">
        <v>15</v>
      </c>
      <c r="E3" t="s">
        <v>34</v>
      </c>
    </row>
    <row r="4" spans="1:6" x14ac:dyDescent="0.3">
      <c r="A4" t="s">
        <v>8</v>
      </c>
      <c r="B4">
        <v>1</v>
      </c>
      <c r="C4" t="s">
        <v>16</v>
      </c>
      <c r="D4" t="s">
        <v>17</v>
      </c>
      <c r="E4" t="s">
        <v>34</v>
      </c>
    </row>
    <row r="5" spans="1:6" x14ac:dyDescent="0.3">
      <c r="A5" t="s">
        <v>9</v>
      </c>
      <c r="B5">
        <v>1</v>
      </c>
      <c r="C5" t="s">
        <v>18</v>
      </c>
      <c r="D5" t="s">
        <v>19</v>
      </c>
      <c r="E5">
        <v>1.29</v>
      </c>
      <c r="F5" t="s">
        <v>37</v>
      </c>
    </row>
    <row r="6" spans="1:6" x14ac:dyDescent="0.3">
      <c r="A6" t="s">
        <v>20</v>
      </c>
      <c r="B6">
        <v>4</v>
      </c>
      <c r="C6" t="s">
        <v>21</v>
      </c>
      <c r="D6" t="s">
        <v>19</v>
      </c>
      <c r="E6">
        <v>5</v>
      </c>
      <c r="F6" t="s">
        <v>38</v>
      </c>
    </row>
    <row r="7" spans="1:6" x14ac:dyDescent="0.3">
      <c r="A7" t="s">
        <v>22</v>
      </c>
      <c r="B7">
        <v>9</v>
      </c>
      <c r="C7" t="s">
        <v>23</v>
      </c>
      <c r="D7" t="s">
        <v>24</v>
      </c>
      <c r="E7" t="s">
        <v>34</v>
      </c>
    </row>
    <row r="8" spans="1:6" x14ac:dyDescent="0.3">
      <c r="A8" t="s">
        <v>25</v>
      </c>
      <c r="B8">
        <v>2</v>
      </c>
      <c r="C8" t="s">
        <v>26</v>
      </c>
      <c r="D8" t="s">
        <v>27</v>
      </c>
      <c r="E8" t="s">
        <v>34</v>
      </c>
    </row>
    <row r="9" spans="1:6" x14ac:dyDescent="0.3">
      <c r="A9" t="s">
        <v>28</v>
      </c>
      <c r="B9">
        <v>1</v>
      </c>
      <c r="C9" t="s">
        <v>29</v>
      </c>
      <c r="D9" t="s">
        <v>30</v>
      </c>
      <c r="E9">
        <v>3.9</v>
      </c>
      <c r="F9" t="s">
        <v>39</v>
      </c>
    </row>
    <row r="10" spans="1:6" x14ac:dyDescent="0.3">
      <c r="A10" t="s">
        <v>31</v>
      </c>
      <c r="B10">
        <v>1</v>
      </c>
      <c r="C10" t="s">
        <v>32</v>
      </c>
      <c r="D10" t="s">
        <v>33</v>
      </c>
      <c r="E10">
        <v>3.38</v>
      </c>
      <c r="F10" t="s">
        <v>40</v>
      </c>
    </row>
    <row r="11" spans="1:6" x14ac:dyDescent="0.3">
      <c r="E11">
        <f>SUM(E10,E9,E6,E5,E2)</f>
        <v>14.61</v>
      </c>
    </row>
    <row r="12" spans="1:6" x14ac:dyDescent="0.3">
      <c r="E12" s="2" t="s">
        <v>35</v>
      </c>
    </row>
    <row r="13" spans="1:6" x14ac:dyDescent="0.3">
      <c r="E13" s="2" t="s">
        <v>10</v>
      </c>
    </row>
    <row r="14" spans="1:6" x14ac:dyDescent="0.3">
      <c r="D14" t="s">
        <v>36</v>
      </c>
      <c r="E14" s="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 Alarm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PANTHULU DIYA</cp:lastModifiedBy>
  <dcterms:created xsi:type="dcterms:W3CDTF">2026-02-03T23:26:50Z</dcterms:created>
  <dcterms:modified xsi:type="dcterms:W3CDTF">2026-02-04T02:06:10Z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e59c49-c978-4f93-8fd4-23c6e135f5a9_Enabled">
    <vt:lpwstr>true</vt:lpwstr>
  </property>
  <property fmtid="{D5CDD505-2E9C-101B-9397-08002B2CF9AE}" pid="3" name="MSIP_Label_72e59c49-c978-4f93-8fd4-23c6e135f5a9_SetDate">
    <vt:lpwstr>2026-02-03T23:27:26Z</vt:lpwstr>
  </property>
  <property fmtid="{D5CDD505-2E9C-101B-9397-08002B2CF9AE}" pid="4" name="MSIP_Label_72e59c49-c978-4f93-8fd4-23c6e135f5a9_Method">
    <vt:lpwstr>Standard</vt:lpwstr>
  </property>
  <property fmtid="{D5CDD505-2E9C-101B-9397-08002B2CF9AE}" pid="5" name="MSIP_Label_72e59c49-c978-4f93-8fd4-23c6e135f5a9_Name">
    <vt:lpwstr>defa4170-0d19-0005-0004-bc88714345d2</vt:lpwstr>
  </property>
  <property fmtid="{D5CDD505-2E9C-101B-9397-08002B2CF9AE}" pid="6" name="MSIP_Label_72e59c49-c978-4f93-8fd4-23c6e135f5a9_SiteId">
    <vt:lpwstr>b771da13-d31d-4745-9da6-3a1cc87452d1</vt:lpwstr>
  </property>
  <property fmtid="{D5CDD505-2E9C-101B-9397-08002B2CF9AE}" pid="7" name="MSIP_Label_72e59c49-c978-4f93-8fd4-23c6e135f5a9_ActionId">
    <vt:lpwstr>a264fac9-b7c9-442e-a223-2564662b69dc</vt:lpwstr>
  </property>
  <property fmtid="{D5CDD505-2E9C-101B-9397-08002B2CF9AE}" pid="8" name="MSIP_Label_72e59c49-c978-4f93-8fd4-23c6e135f5a9_ContentBits">
    <vt:lpwstr>0</vt:lpwstr>
  </property>
  <property fmtid="{D5CDD505-2E9C-101B-9397-08002B2CF9AE}" pid="9" name="MSIP_Label_72e59c49-c978-4f93-8fd4-23c6e135f5a9_Tag">
    <vt:lpwstr>10, 3, 0, 1</vt:lpwstr>
  </property>
</Properties>
</file>